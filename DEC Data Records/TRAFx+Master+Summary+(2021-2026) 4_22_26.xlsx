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n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<sst xmlns="http://schemas.openxmlformats.org/spreadsheetml/2006/main" uniqueCount="25">
  <si>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Year</t>
  </si>
  <si>
    <t>Site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</si>
  <si>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</si>
  <si>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</si>
  <si>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</si>
  <si>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</si>
  <si>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</si>
  <si>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</si>
  <si>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</si>
  <si>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</si>
  <si>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</si>
  <si>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</si>
  <si>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</si>
  <si>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</si>
  <si>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ADT</t>
  </si>
  <si>
    <t>ADTx365</t>
  </si>
  <si>
    <t>Days with data</t>
  </si>
  <si>
    <t>Overlook Mountain</t>
  </si>
  <si>
    <t>Giant Ledge</t>
  </si>
  <si>
    <t xml:space="preserve">Kanape Brook </t>
  </si>
  <si>
    <t>Lost Clove</t>
  </si>
  <si>
    <t>Moon Haw Road</t>
  </si>
  <si>
    <t>Mt. Tremper</t>
  </si>
  <si>
    <t>Slide Mountain</t>
  </si>
  <si>
    <t>Balsam Lake Mountain</t>
  </si>
</sst>
</file>

<file path=xl/styles.xml><?xml version="1.0" encoding="utf-8"?>
<styleSheet xmlns="http://schemas.openxmlformats.org/spreadsheetml/2006/main" xml:space="preserve">
  <numFmts count="2">
    <numFmt numFmtId="164" formatCode="#,0"/>
    <numFmt numFmtId="165" formatCode="#,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7E7"/>
        <bgColor rgb="FFFFE7E7"/>
      </patternFill>
    </fill>
    <fill>
      <patternFill patternType="solid">
        <fgColor rgb="FFe6f0fe"/>
        <bgColor rgb="FFe6f0fe"/>
      </patternFill>
    </fill>
    <fill>
      <patternFill patternType="solid">
        <fgColor rgb="FFb4fddf"/>
        <bgColor rgb="FFb4fddf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2" applyFont="0" applyNumberFormat="0" applyFill="0" applyBorder="1" applyAlignment="0"/>
    <xf xfId="0" fontId="0" numFmtId="0" fillId="2" borderId="2" applyFont="0" applyNumberFormat="0" applyFill="1" applyBorder="1" applyAlignment="0"/>
    <xf xfId="0" fontId="2" numFmtId="164" fillId="3" borderId="2" applyFont="1" applyNumberFormat="1" applyFill="1" applyBorder="1" applyAlignment="1">
      <alignment horizontal="right" vertical="bottom" textRotation="0" wrapText="false" shrinkToFit="false"/>
    </xf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0" numFmtId="165" fillId="4" borderId="2" applyFont="0" applyNumberFormat="1" applyFill="1" applyBorder="1" applyAlignment="1">
      <alignment horizontal="right" vertical="bottom" textRotation="0" wrapText="false" shrinkToFit="false"/>
    </xf>
    <xf xfId="0" fontId="2" numFmtId="164" fillId="4" borderId="2" applyFont="1" applyNumberFormat="1" applyFill="1" applyBorder="1" applyAlignment="1">
      <alignment horizontal="right" vertical="bottom" textRotation="0" wrapText="false" shrinkToFit="false"/>
    </xf>
    <xf xfId="0" fontId="2" numFmtId="164" fillId="0" borderId="2" applyFont="1" applyNumberFormat="1" applyFill="0" applyBorder="1" applyAlignment="1">
      <alignment horizontal="right" vertical="bottom" textRotation="0" wrapText="false" shrinkToFit="false"/>
    </xf>
    <xf xfId="0" fontId="0" numFmtId="164" fillId="4" borderId="2" applyFont="0" applyNumberFormat="1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2" borderId="3" applyFont="0" applyNumberFormat="0" applyFill="1" applyBorder="1" applyAlignment="0"/>
    <xf xfId="0" fontId="2" numFmtId="164" fillId="3" borderId="3" applyFont="1" applyNumberFormat="1" applyFill="1" applyBorder="1" applyAlignment="1">
      <alignment horizontal="right" vertical="bottom" textRotation="0" wrapText="false" shrinkToFit="false"/>
    </xf>
    <xf xfId="0" fontId="0" numFmtId="164" fillId="0" borderId="3" applyFont="0" applyNumberFormat="1" applyFill="0" applyBorder="1" applyAlignment="1">
      <alignment horizontal="right" vertical="bottom" textRotation="0" wrapText="false" shrinkToFit="false"/>
    </xf>
    <xf xfId="0" fontId="0" numFmtId="165" fillId="4" borderId="3" applyFont="0" applyNumberFormat="1" applyFill="1" applyBorder="1" applyAlignment="1">
      <alignment horizontal="right" vertical="bottom" textRotation="0" wrapText="false" shrinkToFit="false"/>
    </xf>
    <xf xfId="0" fontId="2" numFmtId="164" fillId="4" borderId="3" applyFont="1" applyNumberFormat="1" applyFill="1" applyBorder="1" applyAlignment="1">
      <alignment horizontal="right" vertical="bottom" textRotation="0" wrapText="false" shrinkToFit="false"/>
    </xf>
    <xf xfId="0" fontId="0" numFmtId="164" fillId="4" borderId="3" applyFont="0" applyNumberFormat="1" applyFill="1" applyBorder="1" applyAlignment="1">
      <alignment horizontal="right" vertical="bottom" textRotation="0" wrapText="false" shrinkToFit="false"/>
    </xf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"/>
  <sheetViews>
    <sheetView tabSelected="1" workbookViewId="0" showGridLines="true" showRowColHeaders="1">
      <selection activeCell="A19" sqref="A19:Q19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0">
        <v>2021</v>
      </c>
      <c r="B2" s="11" t="s">
        <v>17</v>
      </c>
      <c r="C2" s="12"/>
      <c r="D2" s="12"/>
      <c r="E2" s="12"/>
      <c r="F2" s="12"/>
      <c r="G2" s="12"/>
      <c r="H2" s="12"/>
      <c r="I2" s="13">
        <f>260/1*31</f>
        <v>8060</v>
      </c>
      <c r="J2" s="14">
        <v>3146</v>
      </c>
      <c r="K2" s="14">
        <v>3430</v>
      </c>
      <c r="L2" s="14">
        <v>4493</v>
      </c>
      <c r="M2" s="14">
        <v>2785</v>
      </c>
      <c r="N2" s="14">
        <v>1679</v>
      </c>
      <c r="O2" s="15">
        <f>15793/q2</f>
        <v>102.55194805195</v>
      </c>
      <c r="P2" s="16">
        <f>o2*365</f>
        <v>37431.461038961</v>
      </c>
      <c r="Q2" s="17">
        <v>154</v>
      </c>
    </row>
    <row r="3" spans="1:17">
      <c r="A3" s="10">
        <v>2022</v>
      </c>
      <c r="B3" s="11" t="s">
        <v>17</v>
      </c>
      <c r="C3" s="14">
        <v>1175</v>
      </c>
      <c r="D3" s="14">
        <v>1257</v>
      </c>
      <c r="E3" s="14">
        <v>1553</v>
      </c>
      <c r="F3" s="14">
        <v>2757</v>
      </c>
      <c r="G3" s="14">
        <v>2732</v>
      </c>
      <c r="H3" s="14">
        <v>2747</v>
      </c>
      <c r="I3" s="14">
        <v>2863</v>
      </c>
      <c r="J3" s="14">
        <v>2641</v>
      </c>
      <c r="K3" s="14">
        <v>2865</v>
      </c>
      <c r="L3" s="14">
        <v>4904</v>
      </c>
      <c r="M3" s="14">
        <v>2164</v>
      </c>
      <c r="N3" s="14">
        <v>1348</v>
      </c>
      <c r="O3" s="15">
        <f>29006/q3</f>
        <v>79.468493150685</v>
      </c>
      <c r="P3" s="17">
        <f>o3*365</f>
        <v>29006</v>
      </c>
      <c r="Q3" s="17">
        <v>365</v>
      </c>
    </row>
    <row r="4" spans="1:17">
      <c r="A4" s="10">
        <v>2023</v>
      </c>
      <c r="B4" s="11" t="s">
        <v>17</v>
      </c>
      <c r="C4" s="14">
        <v>1511</v>
      </c>
      <c r="D4" s="14">
        <v>1341</v>
      </c>
      <c r="E4" s="14">
        <v>1308</v>
      </c>
      <c r="F4" s="14">
        <v>2468</v>
      </c>
      <c r="G4" s="14">
        <v>2996</v>
      </c>
      <c r="H4" s="18">
        <f>563/9*30</f>
        <v>1876.6666666667</v>
      </c>
      <c r="I4" s="12"/>
      <c r="J4" s="12"/>
      <c r="K4" s="12"/>
      <c r="L4" s="12"/>
      <c r="M4" s="12"/>
      <c r="N4" s="12"/>
      <c r="O4" s="15">
        <f>10187/q4</f>
        <v>63.66875</v>
      </c>
      <c r="P4" s="16">
        <f>o4*365</f>
        <v>23239.09375</v>
      </c>
      <c r="Q4" s="17">
        <v>160</v>
      </c>
    </row>
    <row r="5" spans="1:17">
      <c r="A5">
        <v>2025</v>
      </c>
      <c r="B5" s="2" t="s">
        <v>18</v>
      </c>
      <c r="C5" s="3"/>
      <c r="D5" s="4">
        <f>0/1*28</f>
        <v>0</v>
      </c>
      <c r="E5" s="5">
        <v>0</v>
      </c>
      <c r="F5" s="5">
        <v>753</v>
      </c>
      <c r="G5" s="5">
        <v>1379</v>
      </c>
      <c r="H5" s="5">
        <v>1384</v>
      </c>
      <c r="I5" s="5">
        <v>1809</v>
      </c>
      <c r="J5" s="5">
        <v>2632</v>
      </c>
      <c r="K5" s="5">
        <v>1797</v>
      </c>
      <c r="L5" s="5">
        <v>3011</v>
      </c>
      <c r="M5" s="5">
        <v>1128</v>
      </c>
      <c r="N5" s="5">
        <v>419</v>
      </c>
      <c r="O5" s="6">
        <f>14312/q5</f>
        <v>46.618892508143</v>
      </c>
      <c r="P5" s="7">
        <f>o5*365</f>
        <v>17015.895765472</v>
      </c>
      <c r="Q5" s="9">
        <v>307</v>
      </c>
    </row>
    <row r="6" spans="1:17">
      <c r="B6" s="2" t="s">
        <v>19</v>
      </c>
      <c r="C6" s="3"/>
      <c r="D6" s="3"/>
      <c r="E6" s="3"/>
      <c r="F6" s="3"/>
      <c r="G6" s="3"/>
      <c r="H6" s="3"/>
      <c r="I6" s="3"/>
      <c r="J6" s="3"/>
      <c r="K6" s="8">
        <f>45/8*30</f>
        <v>168.75</v>
      </c>
      <c r="L6" s="5">
        <v>339</v>
      </c>
      <c r="M6" s="5">
        <v>324</v>
      </c>
      <c r="N6" s="5">
        <v>85</v>
      </c>
      <c r="O6" s="6">
        <f>793/q6</f>
        <v>7.93</v>
      </c>
      <c r="P6" s="7">
        <f>o6*365</f>
        <v>2894.45</v>
      </c>
      <c r="Q6" s="9">
        <v>100</v>
      </c>
    </row>
    <row r="7" spans="1:17">
      <c r="B7" s="2" t="s">
        <v>20</v>
      </c>
      <c r="C7" s="3"/>
      <c r="D7" s="3"/>
      <c r="E7" s="3"/>
      <c r="F7" s="8">
        <f>0/28*30</f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8">
        <f>0/16*31</f>
        <v>0</v>
      </c>
      <c r="O7" s="6">
        <f>0/q7</f>
        <v>0</v>
      </c>
      <c r="P7" s="7">
        <f>o7*365</f>
        <v>0</v>
      </c>
      <c r="Q7" s="9">
        <v>258</v>
      </c>
    </row>
    <row r="8" spans="1:17">
      <c r="B8" s="2" t="s">
        <v>21</v>
      </c>
      <c r="C8" s="3"/>
      <c r="D8" s="3"/>
      <c r="E8" s="3"/>
      <c r="F8" s="3"/>
      <c r="G8" s="3"/>
      <c r="H8" s="3"/>
      <c r="I8" s="3"/>
      <c r="J8" s="3"/>
      <c r="K8" s="8">
        <f>29/8*30</f>
        <v>108.75</v>
      </c>
      <c r="L8" s="5">
        <v>156</v>
      </c>
      <c r="M8" s="5">
        <v>98</v>
      </c>
      <c r="N8" s="5">
        <v>55</v>
      </c>
      <c r="O8" s="6">
        <f>338/q8</f>
        <v>3.38</v>
      </c>
      <c r="P8" s="7">
        <f>o8*365</f>
        <v>1233.7</v>
      </c>
      <c r="Q8" s="9">
        <v>100</v>
      </c>
    </row>
    <row r="9" spans="1:17">
      <c r="B9" s="2" t="s">
        <v>22</v>
      </c>
      <c r="C9" s="3"/>
      <c r="D9" s="3"/>
      <c r="E9" s="3"/>
      <c r="F9" s="3"/>
      <c r="G9" s="3"/>
      <c r="H9" s="3"/>
      <c r="I9" s="3"/>
      <c r="J9" s="3"/>
      <c r="K9" s="8">
        <f>131/8*30</f>
        <v>491.25</v>
      </c>
      <c r="L9" s="5">
        <v>556</v>
      </c>
      <c r="M9" s="5">
        <v>439</v>
      </c>
      <c r="N9" s="5">
        <v>219</v>
      </c>
      <c r="O9" s="6">
        <f>1345/q9</f>
        <v>13.45</v>
      </c>
      <c r="P9" s="7">
        <f>o9*365</f>
        <v>4909.25</v>
      </c>
      <c r="Q9" s="9">
        <v>100</v>
      </c>
    </row>
    <row r="10" spans="1:17">
      <c r="B10" s="2" t="s">
        <v>17</v>
      </c>
      <c r="C10" s="3"/>
      <c r="D10" s="3"/>
      <c r="E10" s="3"/>
      <c r="F10" s="8">
        <f>2086/26*30</f>
        <v>2406.9230769231</v>
      </c>
      <c r="G10" s="5">
        <v>2969</v>
      </c>
      <c r="H10" s="5">
        <v>2781</v>
      </c>
      <c r="I10" s="5">
        <v>3001</v>
      </c>
      <c r="J10" s="5">
        <v>4244</v>
      </c>
      <c r="K10" s="5">
        <v>3282</v>
      </c>
      <c r="L10" s="5">
        <v>4917</v>
      </c>
      <c r="M10" s="5">
        <v>2645</v>
      </c>
      <c r="N10" s="5">
        <v>837</v>
      </c>
      <c r="O10" s="6">
        <f>26762/q10</f>
        <v>98.752767527675</v>
      </c>
      <c r="P10" s="7">
        <f>o10*365</f>
        <v>36044.760147601</v>
      </c>
      <c r="Q10" s="9">
        <v>271</v>
      </c>
    </row>
    <row r="11" spans="1:17">
      <c r="A11" s="10"/>
      <c r="B11" s="11" t="s">
        <v>23</v>
      </c>
      <c r="C11" s="12"/>
      <c r="D11" s="13">
        <f>0/1*28</f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8">
        <f>30/16*31</f>
        <v>58.125</v>
      </c>
      <c r="O11" s="15">
        <f>30/q11</f>
        <v>0.1027397260274</v>
      </c>
      <c r="P11" s="16">
        <f>o11*365</f>
        <v>37.5</v>
      </c>
      <c r="Q11" s="17">
        <v>292</v>
      </c>
    </row>
    <row r="12" spans="1:17">
      <c r="A12">
        <v>2026</v>
      </c>
      <c r="B12" s="2" t="s">
        <v>24</v>
      </c>
      <c r="C12" s="8">
        <f>77/16*31</f>
        <v>149.1875</v>
      </c>
      <c r="D12" s="5">
        <v>210</v>
      </c>
      <c r="E12" s="4">
        <f>4/1*31</f>
        <v>124</v>
      </c>
      <c r="F12" s="3"/>
      <c r="G12" s="3"/>
      <c r="H12" s="3"/>
      <c r="I12" s="3"/>
      <c r="J12" s="3"/>
      <c r="K12" s="3"/>
      <c r="L12" s="3"/>
      <c r="M12" s="3"/>
      <c r="N12" s="3"/>
      <c r="O12" s="6">
        <f>291/q12</f>
        <v>6.4666666666667</v>
      </c>
      <c r="P12" s="7">
        <f>o12*365</f>
        <v>2360.3333333333</v>
      </c>
      <c r="Q12" s="9">
        <v>45</v>
      </c>
    </row>
    <row r="13" spans="1:17">
      <c r="B13" s="2" t="s">
        <v>18</v>
      </c>
      <c r="C13" s="5">
        <v>490</v>
      </c>
      <c r="D13" s="5">
        <v>414</v>
      </c>
      <c r="E13" s="4">
        <f>22/1*31</f>
        <v>682</v>
      </c>
      <c r="F13" s="3"/>
      <c r="G13" s="3"/>
      <c r="H13" s="3"/>
      <c r="I13" s="3"/>
      <c r="J13" s="3"/>
      <c r="K13" s="3"/>
      <c r="L13" s="3"/>
      <c r="M13" s="3"/>
      <c r="N13" s="3"/>
      <c r="O13" s="6">
        <f>926/q13</f>
        <v>15.433333333333</v>
      </c>
      <c r="P13" s="7">
        <f>o13*365</f>
        <v>5633.1666666667</v>
      </c>
      <c r="Q13" s="9">
        <v>60</v>
      </c>
    </row>
    <row r="14" spans="1:17">
      <c r="B14" s="2" t="s">
        <v>19</v>
      </c>
      <c r="C14" s="5">
        <v>118</v>
      </c>
      <c r="D14" s="5">
        <v>128</v>
      </c>
      <c r="E14" s="8">
        <f>36/9*31</f>
        <v>124</v>
      </c>
      <c r="F14" s="3"/>
      <c r="G14" s="3"/>
      <c r="H14" s="3"/>
      <c r="I14" s="3"/>
      <c r="J14" s="3"/>
      <c r="K14" s="3"/>
      <c r="L14" s="3"/>
      <c r="M14" s="3"/>
      <c r="N14" s="3"/>
      <c r="O14" s="6">
        <f>282/q14</f>
        <v>4.1470588235294</v>
      </c>
      <c r="P14" s="7">
        <f>o14*365</f>
        <v>1513.6764705882</v>
      </c>
      <c r="Q14" s="9">
        <v>68</v>
      </c>
    </row>
    <row r="15" spans="1:17">
      <c r="B15" s="2" t="s">
        <v>20</v>
      </c>
      <c r="C15" s="5">
        <v>107</v>
      </c>
      <c r="D15" s="5">
        <v>61</v>
      </c>
      <c r="E15" s="4">
        <f>3/1*31</f>
        <v>93</v>
      </c>
      <c r="F15" s="3"/>
      <c r="G15" s="3"/>
      <c r="H15" s="3"/>
      <c r="I15" s="3"/>
      <c r="J15" s="3"/>
      <c r="K15" s="3"/>
      <c r="L15" s="3"/>
      <c r="M15" s="3"/>
      <c r="N15" s="3"/>
      <c r="O15" s="6">
        <f>171/q15</f>
        <v>2.85</v>
      </c>
      <c r="P15" s="7">
        <f>o15*365</f>
        <v>1040.25</v>
      </c>
      <c r="Q15" s="9">
        <v>60</v>
      </c>
    </row>
    <row r="16" spans="1:17">
      <c r="B16" s="2" t="s">
        <v>21</v>
      </c>
      <c r="C16" s="5">
        <v>39</v>
      </c>
      <c r="D16" s="5">
        <v>32</v>
      </c>
      <c r="E16" s="8">
        <f>34/9*31</f>
        <v>117.11111111111</v>
      </c>
      <c r="F16" s="3"/>
      <c r="G16" s="3"/>
      <c r="H16" s="3"/>
      <c r="I16" s="3"/>
      <c r="J16" s="3"/>
      <c r="K16" s="3"/>
      <c r="L16" s="3"/>
      <c r="M16" s="3"/>
      <c r="N16" s="3"/>
      <c r="O16" s="6">
        <f>105/q16</f>
        <v>1.5441176470588</v>
      </c>
      <c r="P16" s="7">
        <f>o16*365</f>
        <v>563.60294117647</v>
      </c>
      <c r="Q16" s="9">
        <v>68</v>
      </c>
    </row>
    <row r="17" spans="1:17">
      <c r="B17" s="2" t="s">
        <v>22</v>
      </c>
      <c r="C17" s="5">
        <v>231</v>
      </c>
      <c r="D17" s="5">
        <v>165</v>
      </c>
      <c r="E17" s="4">
        <f>7/1*31</f>
        <v>217</v>
      </c>
      <c r="F17" s="3"/>
      <c r="G17" s="3"/>
      <c r="H17" s="3"/>
      <c r="I17" s="3"/>
      <c r="J17" s="3"/>
      <c r="K17" s="3"/>
      <c r="L17" s="3"/>
      <c r="M17" s="3"/>
      <c r="N17" s="3"/>
      <c r="O17" s="6">
        <f>403/q17</f>
        <v>6.7166666666667</v>
      </c>
      <c r="P17" s="7">
        <f>o17*365</f>
        <v>2451.5833333333</v>
      </c>
      <c r="Q17" s="9">
        <v>60</v>
      </c>
    </row>
    <row r="18" spans="1:17">
      <c r="B18" s="2" t="s">
        <v>17</v>
      </c>
      <c r="C18" s="5">
        <v>826</v>
      </c>
      <c r="D18" s="5">
        <v>906</v>
      </c>
      <c r="E18" s="4">
        <f>76/1*31</f>
        <v>2356</v>
      </c>
      <c r="F18" s="3"/>
      <c r="G18" s="3"/>
      <c r="H18" s="3"/>
      <c r="I18" s="3"/>
      <c r="J18" s="3"/>
      <c r="K18" s="3"/>
      <c r="L18" s="3"/>
      <c r="M18" s="3"/>
      <c r="N18" s="3"/>
      <c r="O18" s="6">
        <f>1808/q18</f>
        <v>30.133333333333</v>
      </c>
      <c r="P18" s="7">
        <f>o18*365</f>
        <v>10998.666666667</v>
      </c>
      <c r="Q18" s="9">
        <v>60</v>
      </c>
    </row>
    <row r="19" spans="1:17">
      <c r="A19" s="10"/>
      <c r="B19" s="11" t="s">
        <v>23</v>
      </c>
      <c r="C19" s="14">
        <v>1104</v>
      </c>
      <c r="D19" s="14">
        <v>743</v>
      </c>
      <c r="E19" s="13">
        <f>85/1*31</f>
        <v>2635</v>
      </c>
      <c r="F19" s="12"/>
      <c r="G19" s="12"/>
      <c r="H19" s="12"/>
      <c r="I19" s="12"/>
      <c r="J19" s="12"/>
      <c r="K19" s="12"/>
      <c r="L19" s="12"/>
      <c r="M19" s="12"/>
      <c r="N19" s="12"/>
      <c r="O19" s="15">
        <f>1932/q19</f>
        <v>32.2</v>
      </c>
      <c r="P19" s="16">
        <f>o19*365</f>
        <v>11753</v>
      </c>
      <c r="Q19" s="17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2026-04-22T06:14:05-06:00</dcterms:created>
  <dcterms:modified xsi:type="dcterms:W3CDTF">2026-04-22T06:14:05-06:00</dcterms:modified>
  <dc:title>Untitled Spreadsheet</dc:title>
  <dc:description/>
  <dc:subject/>
  <cp:keywords/>
  <cp:category/>
</cp:coreProperties>
</file>